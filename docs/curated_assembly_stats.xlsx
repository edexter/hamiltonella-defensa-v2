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d\Dropbox\Eric Work\DPA\APHIDS\delivered\"/>
    </mc:Choice>
  </mc:AlternateContent>
  <xr:revisionPtr revIDLastSave="0" documentId="13_ncr:1_{5314CB21-55D4-420B-B6FF-32EE0EB634CE}" xr6:coauthVersionLast="47" xr6:coauthVersionMax="47" xr10:uidLastSave="{00000000-0000-0000-0000-000000000000}"/>
  <bookViews>
    <workbookView xWindow="20" yWindow="20" windowWidth="19180" windowHeight="10180" xr2:uid="{C574F754-EDE2-46B0-AD38-49C8B4289AF7}"/>
  </bookViews>
  <sheets>
    <sheet name="merged_asm_read_stats" sheetId="1" r:id="rId1"/>
  </sheets>
  <calcPr calcId="181029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2" i="1"/>
</calcChain>
</file>

<file path=xl/sharedStrings.xml><?xml version="1.0" encoding="utf-8"?>
<sst xmlns="http://schemas.openxmlformats.org/spreadsheetml/2006/main" count="44" uniqueCount="44">
  <si>
    <t>N50</t>
  </si>
  <si>
    <t>L50</t>
  </si>
  <si>
    <t>Complete BUSCOs (C)</t>
  </si>
  <si>
    <t>Single-copy BUSCOs (S)</t>
  </si>
  <si>
    <t>Duplicated BUSCOs (D)</t>
  </si>
  <si>
    <t>Fragmented BUSCOs (F)</t>
  </si>
  <si>
    <t>Missing BUSCOs (M)</t>
  </si>
  <si>
    <t>Total BUSCO groups searched</t>
  </si>
  <si>
    <t>BUSCO %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</si>
  <si>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</si>
  <si>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</si>
  <si>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</si>
  <si>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</si>
  <si>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</si>
  <si>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</si>
  <si>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</si>
  <si>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</si>
  <si>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</si>
  <si>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</si>
  <si>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</si>
  <si>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</si>
  <si>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</si>
  <si>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</si>
  <si>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sampleID</t>
  </si>
  <si>
    <t>bases</t>
  </si>
  <si>
    <t>contigs</t>
  </si>
  <si>
    <t>meanContigLength</t>
  </si>
  <si>
    <t>largestContig</t>
  </si>
  <si>
    <t>smallestContig</t>
  </si>
  <si>
    <t>strainID</t>
  </si>
  <si>
    <t>H15</t>
  </si>
  <si>
    <t>H16</t>
  </si>
  <si>
    <t>H28</t>
  </si>
  <si>
    <t>H42</t>
  </si>
  <si>
    <t>H76</t>
  </si>
  <si>
    <t>H85</t>
  </si>
  <si>
    <t>H101</t>
  </si>
  <si>
    <t>H103</t>
  </si>
  <si>
    <t>H131</t>
  </si>
  <si>
    <t>H191</t>
  </si>
  <si>
    <t>H214</t>
  </si>
  <si>
    <t>H244</t>
  </si>
  <si>
    <t>H402</t>
  </si>
  <si>
    <t>H619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</si>
</sst>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9380-E30E-45FE-9374-291104050CFB}">
  <dimension ref="A1:P15"/>
  <sheetViews>
    <sheetView tabSelected="1" workbookViewId="0">
      <selection activeCell="E15" sqref="E2:E15"/>
    </sheetView>
  </sheetViews>
  <sheetFormatPr defaultRowHeight="14.5" x14ac:dyDescent="0.35"/>
  <cols>
    <col min="1" max="1" width="15.453125" bestFit="1" customWidth="1"/>
    <col min="2" max="2" width="15.453125" customWidth="1"/>
    <col min="5" max="5" width="16.453125" bestFit="1" customWidth="1"/>
    <col min="14" max="14" width="17.7265625" bestFit="1" customWidth="1"/>
    <col min="15" max="15" width="25.7265625" bestFit="1" customWidth="1"/>
  </cols>
  <sheetData>
    <row r="1" spans="1:16" x14ac:dyDescent="0.35">
      <c r="A1" t="s">
        <v>23</v>
      </c>
      <c r="B1" t="s">
        <v>29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</row>
    <row r="2" spans="1:16" x14ac:dyDescent="0.35">
      <c r="A2" t="s">
        <v>9</v>
      </c>
      <c r="B2" t="s">
        <v>30</v>
      </c>
      <c r="C2">
        <v>2290146</v>
      </c>
      <c r="D2">
        <v>7</v>
      </c>
      <c r="E2" s="2">
        <v>327163.71428571403</v>
      </c>
      <c r="F2">
        <v>1968083</v>
      </c>
      <c r="G2">
        <v>12032</v>
      </c>
      <c r="H2">
        <v>1968083</v>
      </c>
      <c r="I2">
        <v>1</v>
      </c>
      <c r="J2">
        <v>413</v>
      </c>
      <c r="K2">
        <v>409</v>
      </c>
      <c r="L2">
        <v>4</v>
      </c>
      <c r="M2">
        <v>3</v>
      </c>
      <c r="N2">
        <v>24</v>
      </c>
      <c r="O2">
        <v>440</v>
      </c>
      <c r="P2" s="1">
        <f>J2/O2*100</f>
        <v>93.86363636363636</v>
      </c>
    </row>
    <row r="3" spans="1:16" x14ac:dyDescent="0.35">
      <c r="A3" t="s">
        <v>10</v>
      </c>
      <c r="B3" t="s">
        <v>31</v>
      </c>
      <c r="C3">
        <v>2021016</v>
      </c>
      <c r="D3">
        <v>14</v>
      </c>
      <c r="E3" s="2">
        <v>144358.285714286</v>
      </c>
      <c r="F3">
        <v>1150584</v>
      </c>
      <c r="G3">
        <v>12126</v>
      </c>
      <c r="H3">
        <v>1150584</v>
      </c>
      <c r="I3">
        <v>1</v>
      </c>
      <c r="J3">
        <v>359</v>
      </c>
      <c r="K3">
        <v>357</v>
      </c>
      <c r="L3">
        <v>2</v>
      </c>
      <c r="M3">
        <v>8</v>
      </c>
      <c r="N3">
        <v>73</v>
      </c>
      <c r="O3">
        <v>440</v>
      </c>
      <c r="P3" s="1">
        <f t="shared" ref="P3:P15" si="0">J3/O3*100</f>
        <v>81.590909090909093</v>
      </c>
    </row>
    <row r="4" spans="1:16" x14ac:dyDescent="0.35">
      <c r="A4" t="s">
        <v>11</v>
      </c>
      <c r="B4" t="s">
        <v>32</v>
      </c>
      <c r="C4">
        <v>1984000</v>
      </c>
      <c r="D4">
        <v>22</v>
      </c>
      <c r="E4" s="2">
        <v>90181.818181818206</v>
      </c>
      <c r="F4">
        <v>534713</v>
      </c>
      <c r="G4">
        <v>10082</v>
      </c>
      <c r="H4">
        <v>179609</v>
      </c>
      <c r="I4">
        <v>4</v>
      </c>
      <c r="J4">
        <v>331</v>
      </c>
      <c r="K4">
        <v>329</v>
      </c>
      <c r="L4">
        <v>2</v>
      </c>
      <c r="M4">
        <v>11</v>
      </c>
      <c r="N4">
        <v>98</v>
      </c>
      <c r="O4">
        <v>440</v>
      </c>
      <c r="P4" s="1">
        <f t="shared" si="0"/>
        <v>75.227272727272734</v>
      </c>
    </row>
    <row r="5" spans="1:16" x14ac:dyDescent="0.35">
      <c r="A5" t="s">
        <v>12</v>
      </c>
      <c r="B5" t="s">
        <v>33</v>
      </c>
      <c r="C5">
        <v>2151406</v>
      </c>
      <c r="D5">
        <v>2</v>
      </c>
      <c r="E5" s="2">
        <v>1075703</v>
      </c>
      <c r="F5">
        <v>2111329</v>
      </c>
      <c r="G5">
        <v>40077</v>
      </c>
      <c r="H5">
        <v>2111329</v>
      </c>
      <c r="I5">
        <v>1</v>
      </c>
      <c r="J5">
        <v>411</v>
      </c>
      <c r="K5">
        <v>409</v>
      </c>
      <c r="L5">
        <v>2</v>
      </c>
      <c r="M5">
        <v>5</v>
      </c>
      <c r="N5">
        <v>24</v>
      </c>
      <c r="O5">
        <v>440</v>
      </c>
      <c r="P5" s="1">
        <f t="shared" si="0"/>
        <v>93.409090909090907</v>
      </c>
    </row>
    <row r="6" spans="1:16" x14ac:dyDescent="0.35">
      <c r="A6" t="s">
        <v>13</v>
      </c>
      <c r="B6" t="s">
        <v>34</v>
      </c>
      <c r="C6">
        <v>2265849</v>
      </c>
      <c r="D6">
        <v>15</v>
      </c>
      <c r="E6" s="2">
        <v>151056.6</v>
      </c>
      <c r="F6">
        <v>811192</v>
      </c>
      <c r="G6">
        <v>3248</v>
      </c>
      <c r="H6">
        <v>428393</v>
      </c>
      <c r="I6">
        <v>2</v>
      </c>
      <c r="J6">
        <v>397</v>
      </c>
      <c r="K6">
        <v>396</v>
      </c>
      <c r="L6">
        <v>1</v>
      </c>
      <c r="M6">
        <v>4</v>
      </c>
      <c r="N6">
        <v>39</v>
      </c>
      <c r="O6">
        <v>440</v>
      </c>
      <c r="P6" s="1">
        <f t="shared" si="0"/>
        <v>90.22727272727272</v>
      </c>
    </row>
    <row r="7" spans="1:16" x14ac:dyDescent="0.35">
      <c r="A7" t="s">
        <v>14</v>
      </c>
      <c r="B7" t="s">
        <v>35</v>
      </c>
      <c r="C7">
        <v>2294161</v>
      </c>
      <c r="D7">
        <v>7</v>
      </c>
      <c r="E7" s="2">
        <v>327737.28571428597</v>
      </c>
      <c r="F7">
        <v>1972121</v>
      </c>
      <c r="G7">
        <v>12010</v>
      </c>
      <c r="H7">
        <v>1972121</v>
      </c>
      <c r="I7">
        <v>1</v>
      </c>
      <c r="J7">
        <v>413</v>
      </c>
      <c r="K7">
        <v>407</v>
      </c>
      <c r="L7">
        <v>6</v>
      </c>
      <c r="M7">
        <v>3</v>
      </c>
      <c r="N7">
        <v>24</v>
      </c>
      <c r="O7">
        <v>440</v>
      </c>
      <c r="P7" s="1">
        <f t="shared" si="0"/>
        <v>93.86363636363636</v>
      </c>
    </row>
    <row r="8" spans="1:16" x14ac:dyDescent="0.35">
      <c r="A8" t="s">
        <v>15</v>
      </c>
      <c r="B8" t="s">
        <v>36</v>
      </c>
      <c r="C8">
        <v>2248165</v>
      </c>
      <c r="D8">
        <v>5</v>
      </c>
      <c r="E8" s="2">
        <v>449633</v>
      </c>
      <c r="F8">
        <v>2066358</v>
      </c>
      <c r="G8">
        <v>31557</v>
      </c>
      <c r="H8">
        <v>2066358</v>
      </c>
      <c r="I8">
        <v>1</v>
      </c>
      <c r="J8">
        <v>412</v>
      </c>
      <c r="K8">
        <v>411</v>
      </c>
      <c r="L8">
        <v>1</v>
      </c>
      <c r="M8">
        <v>4</v>
      </c>
      <c r="N8">
        <v>24</v>
      </c>
      <c r="O8">
        <v>440</v>
      </c>
      <c r="P8" s="1">
        <f t="shared" si="0"/>
        <v>93.63636363636364</v>
      </c>
    </row>
    <row r="9" spans="1:16" x14ac:dyDescent="0.35">
      <c r="A9" t="s">
        <v>16</v>
      </c>
      <c r="B9" t="s">
        <v>37</v>
      </c>
      <c r="C9">
        <v>2071098</v>
      </c>
      <c r="D9">
        <v>31</v>
      </c>
      <c r="E9" s="2">
        <v>66809.612903225803</v>
      </c>
      <c r="F9">
        <v>185852</v>
      </c>
      <c r="G9">
        <v>11121</v>
      </c>
      <c r="H9">
        <v>76607</v>
      </c>
      <c r="I9">
        <v>9</v>
      </c>
      <c r="J9">
        <v>374</v>
      </c>
      <c r="K9">
        <v>370</v>
      </c>
      <c r="L9">
        <v>4</v>
      </c>
      <c r="M9">
        <v>12</v>
      </c>
      <c r="N9">
        <v>54</v>
      </c>
      <c r="O9">
        <v>440</v>
      </c>
      <c r="P9" s="1">
        <f t="shared" si="0"/>
        <v>85</v>
      </c>
    </row>
    <row r="10" spans="1:16" x14ac:dyDescent="0.35">
      <c r="A10" t="s">
        <v>17</v>
      </c>
      <c r="B10" t="s">
        <v>38</v>
      </c>
      <c r="C10">
        <v>1757953</v>
      </c>
      <c r="D10">
        <v>43</v>
      </c>
      <c r="E10" s="2">
        <v>40882.627906976697</v>
      </c>
      <c r="F10">
        <v>150278</v>
      </c>
      <c r="G10">
        <v>8850</v>
      </c>
      <c r="H10">
        <v>52629</v>
      </c>
      <c r="I10">
        <v>12</v>
      </c>
      <c r="J10">
        <v>282</v>
      </c>
      <c r="K10">
        <v>282</v>
      </c>
      <c r="L10">
        <v>0</v>
      </c>
      <c r="M10">
        <v>13</v>
      </c>
      <c r="N10">
        <v>145</v>
      </c>
      <c r="O10">
        <v>440</v>
      </c>
      <c r="P10" s="1">
        <f t="shared" si="0"/>
        <v>64.090909090909093</v>
      </c>
    </row>
    <row r="11" spans="1:16" x14ac:dyDescent="0.35">
      <c r="A11" t="s">
        <v>18</v>
      </c>
      <c r="B11" t="s">
        <v>39</v>
      </c>
      <c r="C11">
        <v>2222138</v>
      </c>
      <c r="D11">
        <v>5</v>
      </c>
      <c r="E11" s="2">
        <v>444427.6</v>
      </c>
      <c r="F11">
        <v>2042160</v>
      </c>
      <c r="G11">
        <v>12032</v>
      </c>
      <c r="H11">
        <v>2042160</v>
      </c>
      <c r="I11">
        <v>1</v>
      </c>
      <c r="J11">
        <v>414</v>
      </c>
      <c r="K11">
        <v>413</v>
      </c>
      <c r="L11">
        <v>1</v>
      </c>
      <c r="M11">
        <v>2</v>
      </c>
      <c r="N11">
        <v>24</v>
      </c>
      <c r="O11">
        <v>440</v>
      </c>
      <c r="P11" s="1">
        <f t="shared" si="0"/>
        <v>94.090909090909093</v>
      </c>
    </row>
    <row r="12" spans="1:16" x14ac:dyDescent="0.35">
      <c r="A12" t="s">
        <v>19</v>
      </c>
      <c r="B12" t="s">
        <v>40</v>
      </c>
      <c r="C12">
        <v>2231478</v>
      </c>
      <c r="D12">
        <v>6</v>
      </c>
      <c r="E12" s="2">
        <v>371913</v>
      </c>
      <c r="F12">
        <v>1984542</v>
      </c>
      <c r="G12">
        <v>2960</v>
      </c>
      <c r="H12">
        <v>1984542</v>
      </c>
      <c r="I12">
        <v>1</v>
      </c>
      <c r="J12">
        <v>411</v>
      </c>
      <c r="K12">
        <v>407</v>
      </c>
      <c r="L12">
        <v>4</v>
      </c>
      <c r="M12">
        <v>3</v>
      </c>
      <c r="N12">
        <v>26</v>
      </c>
      <c r="O12">
        <v>440</v>
      </c>
      <c r="P12" s="1">
        <f t="shared" si="0"/>
        <v>93.409090909090907</v>
      </c>
    </row>
    <row r="13" spans="1:16" x14ac:dyDescent="0.35">
      <c r="A13" t="s">
        <v>20</v>
      </c>
      <c r="B13" t="s">
        <v>41</v>
      </c>
      <c r="C13">
        <v>2218914</v>
      </c>
      <c r="D13">
        <v>4</v>
      </c>
      <c r="E13" s="2">
        <v>554728.5</v>
      </c>
      <c r="F13">
        <v>2105096</v>
      </c>
      <c r="G13">
        <v>26045</v>
      </c>
      <c r="H13">
        <v>2105096</v>
      </c>
      <c r="I13">
        <v>1</v>
      </c>
      <c r="J13">
        <v>412</v>
      </c>
      <c r="K13">
        <v>412</v>
      </c>
      <c r="L13">
        <v>0</v>
      </c>
      <c r="M13">
        <v>4</v>
      </c>
      <c r="N13">
        <v>24</v>
      </c>
      <c r="O13">
        <v>440</v>
      </c>
      <c r="P13" s="1">
        <f t="shared" si="0"/>
        <v>93.63636363636364</v>
      </c>
    </row>
    <row r="14" spans="1:16" x14ac:dyDescent="0.35">
      <c r="A14" t="s">
        <v>21</v>
      </c>
      <c r="B14" t="s">
        <v>42</v>
      </c>
      <c r="C14">
        <v>2151954</v>
      </c>
      <c r="D14">
        <v>2</v>
      </c>
      <c r="E14" s="2">
        <v>1075977</v>
      </c>
      <c r="F14">
        <v>2111877</v>
      </c>
      <c r="G14">
        <v>40077</v>
      </c>
      <c r="H14">
        <v>2111877</v>
      </c>
      <c r="I14">
        <v>1</v>
      </c>
      <c r="J14">
        <v>411</v>
      </c>
      <c r="K14">
        <v>407</v>
      </c>
      <c r="L14">
        <v>4</v>
      </c>
      <c r="M14">
        <v>5</v>
      </c>
      <c r="N14">
        <v>24</v>
      </c>
      <c r="O14">
        <v>440</v>
      </c>
      <c r="P14" s="1">
        <f t="shared" si="0"/>
        <v>93.409090909090907</v>
      </c>
    </row>
    <row r="15" spans="1:16" x14ac:dyDescent="0.35">
      <c r="A15" t="s">
        <v>22</v>
      </c>
      <c r="B15" t="s">
        <v>43</v>
      </c>
      <c r="C15">
        <v>2114432</v>
      </c>
      <c r="D15">
        <v>8</v>
      </c>
      <c r="E15" s="2">
        <v>264304</v>
      </c>
      <c r="F15">
        <v>1634175</v>
      </c>
      <c r="G15">
        <v>17976</v>
      </c>
      <c r="H15">
        <v>1634175</v>
      </c>
      <c r="I15">
        <v>1</v>
      </c>
      <c r="J15">
        <v>380</v>
      </c>
      <c r="K15">
        <v>379</v>
      </c>
      <c r="L15">
        <v>1</v>
      </c>
      <c r="M15">
        <v>2</v>
      </c>
      <c r="N15">
        <v>58</v>
      </c>
      <c r="O15">
        <v>440</v>
      </c>
      <c r="P15" s="1">
        <f t="shared" si="0"/>
        <v>86.36363636363636</v>
      </c>
    </row>
  </sheetData>
  <sortState xmlns:xlrd2="http://schemas.microsoft.com/office/spreadsheetml/2017/richdata2" ref="A2:I15">
    <sortCondition ref="A2:A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merged_asm_read_stats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Dexter</dc:creator>
  <cp:lastModifiedBy>Eric Dexter</cp:lastModifiedBy>
  <dcterms:created xsi:type="dcterms:W3CDTF">2024-09-23T13:49:10Z</dcterms:created>
  <dcterms:modified xsi:type="dcterms:W3CDTF">2024-10-01T06:22:44Z</dcterms:modified>
</cp:coreProperties>
</file>